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files\GitHub\onboard-surveys\apc-consumption\muni\"/>
    </mc:Choice>
  </mc:AlternateContent>
  <bookViews>
    <workbookView xWindow="0" yWindow="0" windowWidth="28800" windowHeight="13875" activeTab="1"/>
  </bookViews>
  <sheets>
    <sheet name="instructions" sheetId="5" r:id="rId1"/>
    <sheet name="parameters" sheetId="3" r:id="rId2"/>
    <sheet name="_macro_code_helper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" i="3" l="1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B74" i="4" l="1"/>
  <c r="B69" i="4"/>
  <c r="B64" i="4"/>
  <c r="B59" i="4"/>
  <c r="B54" i="4"/>
  <c r="B49" i="4"/>
  <c r="B44" i="4"/>
  <c r="B39" i="4"/>
  <c r="B34" i="4"/>
  <c r="B29" i="4"/>
  <c r="B24" i="4"/>
  <c r="B19" i="4"/>
  <c r="B14" i="4"/>
  <c r="B9" i="4"/>
  <c r="B4" i="4"/>
  <c r="AA6" i="3" l="1"/>
  <c r="Z6" i="3"/>
  <c r="AA5" i="3"/>
  <c r="Z5" i="3"/>
  <c r="Y6" i="3"/>
  <c r="X6" i="3"/>
  <c r="W6" i="3"/>
  <c r="V6" i="3"/>
  <c r="Y5" i="3"/>
  <c r="X5" i="3"/>
  <c r="W5" i="3"/>
  <c r="V5" i="3"/>
  <c r="B73" i="4"/>
  <c r="B68" i="4"/>
  <c r="B63" i="4"/>
  <c r="B58" i="4"/>
  <c r="B53" i="4"/>
  <c r="B48" i="4"/>
  <c r="B43" i="4"/>
  <c r="B38" i="4"/>
  <c r="B33" i="4"/>
  <c r="B28" i="4"/>
  <c r="B23" i="4"/>
  <c r="B18" i="4"/>
  <c r="B13" i="4"/>
  <c r="B8" i="4"/>
  <c r="B6" i="4"/>
  <c r="B3" i="4"/>
  <c r="B1" i="4"/>
  <c r="A11" i="4"/>
  <c r="A16" i="4" s="1"/>
  <c r="A6" i="4"/>
  <c r="M6" i="3"/>
  <c r="L6" i="3"/>
  <c r="K6" i="3"/>
  <c r="J6" i="3"/>
  <c r="M5" i="3"/>
  <c r="L5" i="3"/>
  <c r="K5" i="3"/>
  <c r="J5" i="3"/>
  <c r="U6" i="3"/>
  <c r="T6" i="3"/>
  <c r="S6" i="3"/>
  <c r="R6" i="3"/>
  <c r="U5" i="3"/>
  <c r="T5" i="3"/>
  <c r="S5" i="3"/>
  <c r="R5" i="3"/>
  <c r="B16" i="4" l="1"/>
  <c r="A21" i="4"/>
  <c r="B11" i="4"/>
  <c r="N6" i="3"/>
  <c r="N5" i="3"/>
  <c r="O6" i="3"/>
  <c r="O5" i="3"/>
  <c r="P6" i="3"/>
  <c r="P5" i="3"/>
  <c r="Q6" i="3"/>
  <c r="Q5" i="3"/>
  <c r="G6" i="3"/>
  <c r="G5" i="3"/>
  <c r="H6" i="3"/>
  <c r="H5" i="3"/>
  <c r="I6" i="3"/>
  <c r="I5" i="3"/>
  <c r="AB5" i="3"/>
  <c r="AB6" i="3"/>
  <c r="B21" i="4" l="1"/>
  <c r="A26" i="4"/>
  <c r="F6" i="3"/>
  <c r="F5" i="3"/>
  <c r="A31" i="4" l="1"/>
  <c r="B26" i="4"/>
  <c r="E6" i="3"/>
  <c r="E5" i="3"/>
  <c r="A36" i="4" l="1"/>
  <c r="B31" i="4"/>
  <c r="D6" i="3"/>
  <c r="D5" i="3"/>
  <c r="B36" i="4" l="1"/>
  <c r="A41" i="4"/>
  <c r="B41" i="4" l="1"/>
  <c r="A46" i="4"/>
  <c r="A51" i="4" l="1"/>
  <c r="B46" i="4"/>
  <c r="A56" i="4" l="1"/>
  <c r="B51" i="4"/>
  <c r="A61" i="4" l="1"/>
  <c r="B56" i="4"/>
  <c r="B61" i="4" l="1"/>
  <c r="A66" i="4"/>
  <c r="A71" i="4" l="1"/>
  <c r="B71" i="4" s="1"/>
  <c r="B66" i="4"/>
</calcChain>
</file>

<file path=xl/sharedStrings.xml><?xml version="1.0" encoding="utf-8"?>
<sst xmlns="http://schemas.openxmlformats.org/spreadsheetml/2006/main" count="115" uniqueCount="99">
  <si>
    <t>Input:</t>
  </si>
  <si>
    <t>Output:</t>
  </si>
  <si>
    <t>Route:</t>
  </si>
  <si>
    <t>Directory (and file prefix):</t>
  </si>
  <si>
    <t>08AX</t>
  </si>
  <si>
    <t>08BX</t>
  </si>
  <si>
    <t>0009</t>
  </si>
  <si>
    <t>009L</t>
  </si>
  <si>
    <t>014L</t>
  </si>
  <si>
    <t>0010</t>
  </si>
  <si>
    <t>0012</t>
  </si>
  <si>
    <t>0014</t>
  </si>
  <si>
    <t>014X</t>
  </si>
  <si>
    <t>016X</t>
  </si>
  <si>
    <t>0017</t>
  </si>
  <si>
    <t>0018</t>
  </si>
  <si>
    <t>0019</t>
  </si>
  <si>
    <t>0021</t>
  </si>
  <si>
    <t>0022</t>
  </si>
  <si>
    <t>0023</t>
  </si>
  <si>
    <t>0024</t>
  </si>
  <si>
    <t>0027</t>
  </si>
  <si>
    <t>0028</t>
  </si>
  <si>
    <t>028L</t>
  </si>
  <si>
    <t>0029</t>
  </si>
  <si>
    <t>0030</t>
  </si>
  <si>
    <t>030X</t>
  </si>
  <si>
    <t>0031</t>
  </si>
  <si>
    <t>31AX</t>
  </si>
  <si>
    <t>31BX</t>
  </si>
  <si>
    <t>0033</t>
  </si>
  <si>
    <t>0035</t>
  </si>
  <si>
    <t>0036</t>
  </si>
  <si>
    <t>0037</t>
  </si>
  <si>
    <t>0038</t>
  </si>
  <si>
    <t>038L</t>
  </si>
  <si>
    <t>38AX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</si>
  <si>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</si>
  <si>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</si>
  <si>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</si>
  <si>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</si>
  <si>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</si>
  <si>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</si>
  <si>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</si>
  <si>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</si>
  <si>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</si>
  <si>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</si>
  <si>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</si>
  <si>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</si>
  <si>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</si>
  <si>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</si>
  <si>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</si>
  <si>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0039</t>
  </si>
  <si>
    <t>0041</t>
  </si>
  <si>
    <t>0043</t>
  </si>
  <si>
    <t>0044</t>
  </si>
  <si>
    <t>0045</t>
  </si>
  <si>
    <t>0047</t>
  </si>
  <si>
    <t>0048</t>
  </si>
  <si>
    <t>second pass</t>
  </si>
  <si>
    <t>first pass</t>
  </si>
  <si>
    <t>__NX</t>
  </si>
  <si>
    <t>0001</t>
  </si>
  <si>
    <t>01AX</t>
  </si>
  <si>
    <t>01BX</t>
  </si>
  <si>
    <t>0002</t>
  </si>
  <si>
    <t>0003</t>
  </si>
  <si>
    <t>0005</t>
  </si>
  <si>
    <t>005L</t>
  </si>
  <si>
    <t>0006</t>
  </si>
  <si>
    <t>008X</t>
  </si>
  <si>
    <t>third pass</t>
  </si>
  <si>
    <t>0049</t>
  </si>
  <si>
    <t>0052</t>
  </si>
  <si>
    <t>0054</t>
  </si>
  <si>
    <t>0056</t>
  </si>
  <si>
    <t>0055</t>
  </si>
  <si>
    <t>0066</t>
  </si>
  <si>
    <t>0067</t>
  </si>
  <si>
    <t>0071</t>
  </si>
  <si>
    <t>071L</t>
  </si>
  <si>
    <t>081X</t>
  </si>
  <si>
    <t>082X</t>
  </si>
  <si>
    <t>083X</t>
  </si>
  <si>
    <t>0090</t>
  </si>
  <si>
    <t>0091</t>
  </si>
  <si>
    <t>0108</t>
  </si>
  <si>
    <t>0088</t>
  </si>
  <si>
    <t xml:space="preserve"> </t>
  </si>
  <si>
    <t xml:space="preserve">  </t>
  </si>
  <si>
    <t>extract_flat_file</t>
  </si>
  <si>
    <t>This file contains a single macro that extracts data from standard SF MTA APC summary spreadsheets into a flat file.</t>
  </si>
  <si>
    <t>The flat files are then consumed by an R script and flattened further.</t>
  </si>
  <si>
    <t>To use this spreadsheet, paste the four character route codes that correspond to the MTA spreadsheet names in the</t>
  </si>
  <si>
    <t>blue row in the parameters tab.  The macro can be modified to run up to 25 spreadsheets at a time.</t>
  </si>
  <si>
    <t>FALL2013___NX</t>
  </si>
  <si>
    <t>M:\Data\Transit\2013 APC\Muni\FALL2013_</t>
  </si>
  <si>
    <t>005P</t>
  </si>
  <si>
    <t>005W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</si>
</sst>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quotePrefix="1"/>
    <xf numFmtId="0" fontId="0" fillId="2" borderId="0" xfId="0" quotePrefix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"/>
  <sheetViews>
    <sheetView workbookViewId="0">
      <selection activeCell="A8" sqref="A8"/>
    </sheetView>
  </sheetViews>
  <sheetFormatPr defaultRowHeight="16.5" x14ac:dyDescent="0.3"/>
  <sheetData>
    <row r="1" spans="1:1" x14ac:dyDescent="0.3">
      <c r="A1" t="s">
        <v>90</v>
      </c>
    </row>
    <row r="3" spans="1:1" x14ac:dyDescent="0.3">
      <c r="A3" t="s">
        <v>91</v>
      </c>
    </row>
    <row r="4" spans="1:1" x14ac:dyDescent="0.3">
      <c r="A4" t="s">
        <v>92</v>
      </c>
    </row>
    <row r="6" spans="1:1" x14ac:dyDescent="0.3">
      <c r="A6" t="s">
        <v>93</v>
      </c>
    </row>
    <row r="7" spans="1:1" x14ac:dyDescent="0.3">
      <c r="A7" t="s">
        <v>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C18"/>
  <sheetViews>
    <sheetView tabSelected="1" workbookViewId="0">
      <selection activeCell="F4" sqref="F4"/>
    </sheetView>
  </sheetViews>
  <sheetFormatPr defaultRowHeight="16.5" x14ac:dyDescent="0.3"/>
  <cols>
    <col min="1" max="2" width="3.625" customWidth="1"/>
    <col min="3" max="3" width="28.375" customWidth="1"/>
    <col min="4" max="28" width="15.625" customWidth="1"/>
    <col min="29" max="30" width="3.625" customWidth="1"/>
  </cols>
  <sheetData>
    <row r="2" spans="2:29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</row>
    <row r="3" spans="2:29" ht="30" customHeight="1" x14ac:dyDescent="0.3">
      <c r="B3" s="4"/>
      <c r="C3" s="5" t="s">
        <v>2</v>
      </c>
      <c r="D3" s="12" t="s">
        <v>97</v>
      </c>
      <c r="E3" s="12" t="s">
        <v>98</v>
      </c>
      <c r="F3" s="12" t="s">
        <v>83</v>
      </c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6"/>
    </row>
    <row r="4" spans="2:29" ht="30" customHeight="1" x14ac:dyDescent="0.3">
      <c r="B4" s="4"/>
      <c r="C4" s="5" t="s">
        <v>3</v>
      </c>
      <c r="D4" s="5" t="s">
        <v>96</v>
      </c>
      <c r="E4" s="5" t="str">
        <f>+$D4</f>
        <v>M:\Data\Transit\2013 APC\Muni\FALL2013_</v>
      </c>
      <c r="F4" s="5" t="str">
        <f t="shared" ref="F4:AC4" si="0">+$D4</f>
        <v>M:\Data\Transit\2013 APC\Muni\FALL2013_</v>
      </c>
      <c r="G4" s="5" t="str">
        <f t="shared" si="0"/>
        <v>M:\Data\Transit\2013 APC\Muni\FALL2013_</v>
      </c>
      <c r="H4" s="5" t="str">
        <f t="shared" si="0"/>
        <v>M:\Data\Transit\2013 APC\Muni\FALL2013_</v>
      </c>
      <c r="I4" s="5" t="str">
        <f t="shared" si="0"/>
        <v>M:\Data\Transit\2013 APC\Muni\FALL2013_</v>
      </c>
      <c r="J4" s="5" t="str">
        <f t="shared" si="0"/>
        <v>M:\Data\Transit\2013 APC\Muni\FALL2013_</v>
      </c>
      <c r="K4" s="5" t="str">
        <f t="shared" si="0"/>
        <v>M:\Data\Transit\2013 APC\Muni\FALL2013_</v>
      </c>
      <c r="L4" s="5" t="str">
        <f t="shared" si="0"/>
        <v>M:\Data\Transit\2013 APC\Muni\FALL2013_</v>
      </c>
      <c r="M4" s="5" t="str">
        <f t="shared" si="0"/>
        <v>M:\Data\Transit\2013 APC\Muni\FALL2013_</v>
      </c>
      <c r="N4" s="5" t="str">
        <f t="shared" si="0"/>
        <v>M:\Data\Transit\2013 APC\Muni\FALL2013_</v>
      </c>
      <c r="O4" s="5" t="str">
        <f t="shared" si="0"/>
        <v>M:\Data\Transit\2013 APC\Muni\FALL2013_</v>
      </c>
      <c r="P4" s="5" t="str">
        <f t="shared" si="0"/>
        <v>M:\Data\Transit\2013 APC\Muni\FALL2013_</v>
      </c>
      <c r="Q4" s="5" t="str">
        <f t="shared" si="0"/>
        <v>M:\Data\Transit\2013 APC\Muni\FALL2013_</v>
      </c>
      <c r="R4" s="5" t="str">
        <f t="shared" si="0"/>
        <v>M:\Data\Transit\2013 APC\Muni\FALL2013_</v>
      </c>
      <c r="S4" s="5" t="str">
        <f t="shared" si="0"/>
        <v>M:\Data\Transit\2013 APC\Muni\FALL2013_</v>
      </c>
      <c r="T4" s="5" t="str">
        <f t="shared" si="0"/>
        <v>M:\Data\Transit\2013 APC\Muni\FALL2013_</v>
      </c>
      <c r="U4" s="5" t="str">
        <f t="shared" si="0"/>
        <v>M:\Data\Transit\2013 APC\Muni\FALL2013_</v>
      </c>
      <c r="V4" s="5" t="str">
        <f t="shared" si="0"/>
        <v>M:\Data\Transit\2013 APC\Muni\FALL2013_</v>
      </c>
      <c r="W4" s="5" t="str">
        <f t="shared" si="0"/>
        <v>M:\Data\Transit\2013 APC\Muni\FALL2013_</v>
      </c>
      <c r="X4" s="5" t="str">
        <f t="shared" si="0"/>
        <v>M:\Data\Transit\2013 APC\Muni\FALL2013_</v>
      </c>
      <c r="Y4" s="5" t="str">
        <f t="shared" si="0"/>
        <v>M:\Data\Transit\2013 APC\Muni\FALL2013_</v>
      </c>
      <c r="Z4" s="5" t="str">
        <f t="shared" si="0"/>
        <v>M:\Data\Transit\2013 APC\Muni\FALL2013_</v>
      </c>
      <c r="AA4" s="5" t="str">
        <f t="shared" si="0"/>
        <v>M:\Data\Transit\2013 APC\Muni\FALL2013_</v>
      </c>
      <c r="AB4" s="5" t="str">
        <f t="shared" si="0"/>
        <v>M:\Data\Transit\2013 APC\Muni\FALL2013_</v>
      </c>
      <c r="AC4" s="5" t="str">
        <f t="shared" si="0"/>
        <v>M:\Data\Transit\2013 APC\Muni\FALL2013_</v>
      </c>
    </row>
    <row r="5" spans="2:29" ht="30" customHeight="1" x14ac:dyDescent="0.3">
      <c r="B5" s="4"/>
      <c r="C5" s="5" t="s">
        <v>0</v>
      </c>
      <c r="D5" s="7" t="str">
        <f t="shared" ref="D5:AB5" si="1">+CONCATENATE(D4,D3,".xlsm")</f>
        <v>M:\Data\Transit\2013 APC\Muni\FALL2013_005P.xlsm</v>
      </c>
      <c r="E5" s="7" t="str">
        <f t="shared" si="1"/>
        <v>M:\Data\Transit\2013 APC\Muni\FALL2013_005W.xlsm</v>
      </c>
      <c r="F5" s="7" t="str">
        <f t="shared" si="1"/>
        <v>M:\Data\Transit\2013 APC\Muni\FALL2013_083X.xlsm</v>
      </c>
      <c r="G5" s="7" t="str">
        <f t="shared" si="1"/>
        <v>M:\Data\Transit\2013 APC\Muni\FALL2013_.xlsm</v>
      </c>
      <c r="H5" s="7" t="str">
        <f t="shared" si="1"/>
        <v>M:\Data\Transit\2013 APC\Muni\FALL2013_.xlsm</v>
      </c>
      <c r="I5" s="7" t="str">
        <f t="shared" si="1"/>
        <v>M:\Data\Transit\2013 APC\Muni\FALL2013_.xlsm</v>
      </c>
      <c r="J5" s="7" t="str">
        <f t="shared" si="1"/>
        <v>M:\Data\Transit\2013 APC\Muni\FALL2013_.xlsm</v>
      </c>
      <c r="K5" s="7" t="str">
        <f t="shared" si="1"/>
        <v>M:\Data\Transit\2013 APC\Muni\FALL2013_.xlsm</v>
      </c>
      <c r="L5" s="7" t="str">
        <f t="shared" si="1"/>
        <v>M:\Data\Transit\2013 APC\Muni\FALL2013_.xlsm</v>
      </c>
      <c r="M5" s="7" t="str">
        <f t="shared" si="1"/>
        <v>M:\Data\Transit\2013 APC\Muni\FALL2013_.xlsm</v>
      </c>
      <c r="N5" s="7" t="str">
        <f t="shared" si="1"/>
        <v>M:\Data\Transit\2013 APC\Muni\FALL2013_.xlsm</v>
      </c>
      <c r="O5" s="7" t="str">
        <f t="shared" si="1"/>
        <v>M:\Data\Transit\2013 APC\Muni\FALL2013_.xlsm</v>
      </c>
      <c r="P5" s="7" t="str">
        <f t="shared" si="1"/>
        <v>M:\Data\Transit\2013 APC\Muni\FALL2013_.xlsm</v>
      </c>
      <c r="Q5" s="7" t="str">
        <f t="shared" si="1"/>
        <v>M:\Data\Transit\2013 APC\Muni\FALL2013_.xlsm</v>
      </c>
      <c r="R5" s="7" t="str">
        <f t="shared" si="1"/>
        <v>M:\Data\Transit\2013 APC\Muni\FALL2013_.xlsm</v>
      </c>
      <c r="S5" s="7" t="str">
        <f t="shared" si="1"/>
        <v>M:\Data\Transit\2013 APC\Muni\FALL2013_.xlsm</v>
      </c>
      <c r="T5" s="7" t="str">
        <f t="shared" si="1"/>
        <v>M:\Data\Transit\2013 APC\Muni\FALL2013_.xlsm</v>
      </c>
      <c r="U5" s="7" t="str">
        <f t="shared" si="1"/>
        <v>M:\Data\Transit\2013 APC\Muni\FALL2013_.xlsm</v>
      </c>
      <c r="V5" s="7" t="str">
        <f t="shared" si="1"/>
        <v>M:\Data\Transit\2013 APC\Muni\FALL2013_.xlsm</v>
      </c>
      <c r="W5" s="7" t="str">
        <f t="shared" si="1"/>
        <v>M:\Data\Transit\2013 APC\Muni\FALL2013_.xlsm</v>
      </c>
      <c r="X5" s="7" t="str">
        <f t="shared" si="1"/>
        <v>M:\Data\Transit\2013 APC\Muni\FALL2013_.xlsm</v>
      </c>
      <c r="Y5" s="7" t="str">
        <f t="shared" si="1"/>
        <v>M:\Data\Transit\2013 APC\Muni\FALL2013_.xlsm</v>
      </c>
      <c r="Z5" s="7" t="str">
        <f t="shared" si="1"/>
        <v>M:\Data\Transit\2013 APC\Muni\FALL2013_.xlsm</v>
      </c>
      <c r="AA5" s="7" t="str">
        <f t="shared" si="1"/>
        <v>M:\Data\Transit\2013 APC\Muni\FALL2013_.xlsm</v>
      </c>
      <c r="AB5" s="7" t="str">
        <f t="shared" si="1"/>
        <v>M:\Data\Transit\2013 APC\Muni\FALL2013_.xlsm</v>
      </c>
      <c r="AC5" s="6" t="s">
        <v>89</v>
      </c>
    </row>
    <row r="6" spans="2:29" ht="30" customHeight="1" x14ac:dyDescent="0.3">
      <c r="B6" s="4"/>
      <c r="C6" s="5" t="s">
        <v>1</v>
      </c>
      <c r="D6" s="7" t="str">
        <f t="shared" ref="D6:AB6" si="2">+CONCATENATE(D4,D3,".csv")</f>
        <v>M:\Data\Transit\2013 APC\Muni\FALL2013_005P.csv</v>
      </c>
      <c r="E6" s="7" t="str">
        <f t="shared" si="2"/>
        <v>M:\Data\Transit\2013 APC\Muni\FALL2013_005W.csv</v>
      </c>
      <c r="F6" s="7" t="str">
        <f t="shared" si="2"/>
        <v>M:\Data\Transit\2013 APC\Muni\FALL2013_083X.csv</v>
      </c>
      <c r="G6" s="7" t="str">
        <f t="shared" si="2"/>
        <v>M:\Data\Transit\2013 APC\Muni\FALL2013_.csv</v>
      </c>
      <c r="H6" s="7" t="str">
        <f t="shared" si="2"/>
        <v>M:\Data\Transit\2013 APC\Muni\FALL2013_.csv</v>
      </c>
      <c r="I6" s="7" t="str">
        <f t="shared" si="2"/>
        <v>M:\Data\Transit\2013 APC\Muni\FALL2013_.csv</v>
      </c>
      <c r="J6" s="7" t="str">
        <f t="shared" si="2"/>
        <v>M:\Data\Transit\2013 APC\Muni\FALL2013_.csv</v>
      </c>
      <c r="K6" s="7" t="str">
        <f t="shared" si="2"/>
        <v>M:\Data\Transit\2013 APC\Muni\FALL2013_.csv</v>
      </c>
      <c r="L6" s="7" t="str">
        <f t="shared" si="2"/>
        <v>M:\Data\Transit\2013 APC\Muni\FALL2013_.csv</v>
      </c>
      <c r="M6" s="7" t="str">
        <f t="shared" si="2"/>
        <v>M:\Data\Transit\2013 APC\Muni\FALL2013_.csv</v>
      </c>
      <c r="N6" s="7" t="str">
        <f t="shared" si="2"/>
        <v>M:\Data\Transit\2013 APC\Muni\FALL2013_.csv</v>
      </c>
      <c r="O6" s="7" t="str">
        <f t="shared" si="2"/>
        <v>M:\Data\Transit\2013 APC\Muni\FALL2013_.csv</v>
      </c>
      <c r="P6" s="7" t="str">
        <f t="shared" si="2"/>
        <v>M:\Data\Transit\2013 APC\Muni\FALL2013_.csv</v>
      </c>
      <c r="Q6" s="7" t="str">
        <f t="shared" si="2"/>
        <v>M:\Data\Transit\2013 APC\Muni\FALL2013_.csv</v>
      </c>
      <c r="R6" s="7" t="str">
        <f t="shared" si="2"/>
        <v>M:\Data\Transit\2013 APC\Muni\FALL2013_.csv</v>
      </c>
      <c r="S6" s="7" t="str">
        <f t="shared" si="2"/>
        <v>M:\Data\Transit\2013 APC\Muni\FALL2013_.csv</v>
      </c>
      <c r="T6" s="7" t="str">
        <f t="shared" si="2"/>
        <v>M:\Data\Transit\2013 APC\Muni\FALL2013_.csv</v>
      </c>
      <c r="U6" s="7" t="str">
        <f t="shared" si="2"/>
        <v>M:\Data\Transit\2013 APC\Muni\FALL2013_.csv</v>
      </c>
      <c r="V6" s="7" t="str">
        <f t="shared" si="2"/>
        <v>M:\Data\Transit\2013 APC\Muni\FALL2013_.csv</v>
      </c>
      <c r="W6" s="7" t="str">
        <f t="shared" si="2"/>
        <v>M:\Data\Transit\2013 APC\Muni\FALL2013_.csv</v>
      </c>
      <c r="X6" s="7" t="str">
        <f t="shared" si="2"/>
        <v>M:\Data\Transit\2013 APC\Muni\FALL2013_.csv</v>
      </c>
      <c r="Y6" s="7" t="str">
        <f t="shared" si="2"/>
        <v>M:\Data\Transit\2013 APC\Muni\FALL2013_.csv</v>
      </c>
      <c r="Z6" s="7" t="str">
        <f t="shared" si="2"/>
        <v>M:\Data\Transit\2013 APC\Muni\FALL2013_.csv</v>
      </c>
      <c r="AA6" s="7" t="str">
        <f t="shared" si="2"/>
        <v>M:\Data\Transit\2013 APC\Muni\FALL2013_.csv</v>
      </c>
      <c r="AB6" s="7" t="str">
        <f t="shared" si="2"/>
        <v>M:\Data\Transit\2013 APC\Muni\FALL2013_.csv</v>
      </c>
      <c r="AC6" s="6" t="s">
        <v>88</v>
      </c>
    </row>
    <row r="7" spans="2:29" x14ac:dyDescent="0.3"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10"/>
    </row>
    <row r="12" spans="2:29" x14ac:dyDescent="0.3">
      <c r="C12" t="s">
        <v>60</v>
      </c>
      <c r="D12" s="11" t="s">
        <v>61</v>
      </c>
      <c r="E12" s="11" t="s">
        <v>62</v>
      </c>
      <c r="F12" s="11" t="s">
        <v>63</v>
      </c>
      <c r="G12" s="11" t="s">
        <v>64</v>
      </c>
      <c r="H12" s="11" t="s">
        <v>65</v>
      </c>
      <c r="I12" s="11" t="s">
        <v>66</v>
      </c>
      <c r="J12" s="11" t="s">
        <v>67</v>
      </c>
      <c r="K12" s="11" t="s">
        <v>68</v>
      </c>
      <c r="L12" s="11" t="s">
        <v>69</v>
      </c>
      <c r="M12" s="11" t="s">
        <v>70</v>
      </c>
      <c r="N12" s="11" t="s">
        <v>4</v>
      </c>
      <c r="O12" s="11" t="s">
        <v>5</v>
      </c>
      <c r="P12" s="11" t="s">
        <v>6</v>
      </c>
      <c r="Q12" s="11" t="s">
        <v>7</v>
      </c>
      <c r="R12" s="11" t="s">
        <v>9</v>
      </c>
      <c r="S12" s="11" t="s">
        <v>10</v>
      </c>
      <c r="T12" s="11" t="s">
        <v>11</v>
      </c>
      <c r="U12" s="11" t="s">
        <v>8</v>
      </c>
      <c r="V12" s="11" t="s">
        <v>12</v>
      </c>
      <c r="W12" s="11" t="s">
        <v>13</v>
      </c>
      <c r="X12" s="11" t="s">
        <v>14</v>
      </c>
      <c r="Y12" s="11" t="s">
        <v>15</v>
      </c>
      <c r="Z12" s="11" t="s">
        <v>16</v>
      </c>
      <c r="AA12" s="11" t="s">
        <v>17</v>
      </c>
      <c r="AB12" s="11" t="s">
        <v>18</v>
      </c>
    </row>
    <row r="13" spans="2:29" x14ac:dyDescent="0.3">
      <c r="C13" t="s">
        <v>59</v>
      </c>
      <c r="D13" t="s">
        <v>19</v>
      </c>
      <c r="E13" t="s">
        <v>20</v>
      </c>
      <c r="F13" t="s">
        <v>21</v>
      </c>
      <c r="G13" t="s">
        <v>22</v>
      </c>
      <c r="H13" t="s">
        <v>23</v>
      </c>
      <c r="I13" t="s">
        <v>24</v>
      </c>
      <c r="J13" t="s">
        <v>25</v>
      </c>
      <c r="K13" t="s">
        <v>26</v>
      </c>
      <c r="L13" t="s">
        <v>27</v>
      </c>
      <c r="M13" t="s">
        <v>28</v>
      </c>
      <c r="N13" t="s">
        <v>29</v>
      </c>
      <c r="O13" t="s">
        <v>30</v>
      </c>
      <c r="P13" t="s">
        <v>31</v>
      </c>
      <c r="Q13" t="s">
        <v>32</v>
      </c>
      <c r="R13" t="s">
        <v>33</v>
      </c>
      <c r="S13" t="s">
        <v>34</v>
      </c>
      <c r="T13" t="s">
        <v>35</v>
      </c>
      <c r="U13" t="s">
        <v>36</v>
      </c>
      <c r="V13" t="s">
        <v>52</v>
      </c>
      <c r="W13" t="s">
        <v>53</v>
      </c>
      <c r="X13" t="s">
        <v>54</v>
      </c>
      <c r="Y13" t="s">
        <v>55</v>
      </c>
      <c r="Z13" t="s">
        <v>56</v>
      </c>
      <c r="AA13" t="s">
        <v>57</v>
      </c>
      <c r="AB13" t="s">
        <v>58</v>
      </c>
    </row>
    <row r="14" spans="2:29" x14ac:dyDescent="0.3">
      <c r="C14" t="s">
        <v>71</v>
      </c>
      <c r="D14" s="11" t="s">
        <v>72</v>
      </c>
      <c r="E14" s="11" t="s">
        <v>73</v>
      </c>
      <c r="F14" s="11" t="s">
        <v>74</v>
      </c>
      <c r="G14" s="11" t="s">
        <v>76</v>
      </c>
      <c r="H14" s="11" t="s">
        <v>75</v>
      </c>
      <c r="I14" s="11" t="s">
        <v>77</v>
      </c>
      <c r="J14" s="11" t="s">
        <v>78</v>
      </c>
      <c r="K14" s="11" t="s">
        <v>79</v>
      </c>
      <c r="L14" s="11" t="s">
        <v>80</v>
      </c>
      <c r="M14" s="11" t="s">
        <v>81</v>
      </c>
      <c r="N14" s="11" t="s">
        <v>82</v>
      </c>
      <c r="O14" s="11" t="s">
        <v>83</v>
      </c>
      <c r="P14" s="11" t="s">
        <v>87</v>
      </c>
      <c r="Q14" s="11" t="s">
        <v>84</v>
      </c>
      <c r="R14" s="11" t="s">
        <v>85</v>
      </c>
      <c r="S14" s="11" t="s">
        <v>86</v>
      </c>
    </row>
    <row r="18" spans="3:3" x14ac:dyDescent="0.3">
      <c r="C18" t="s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4"/>
  <sheetViews>
    <sheetView workbookViewId="0"/>
  </sheetViews>
  <sheetFormatPr defaultRowHeight="16.5" x14ac:dyDescent="0.3"/>
  <cols>
    <col min="2" max="2" width="100.625" customWidth="1"/>
  </cols>
  <sheetData>
    <row r="1" spans="1:2" x14ac:dyDescent="0.3">
      <c r="A1">
        <v>11</v>
      </c>
      <c r="B1" t="str">
        <f>+CONCATENATE("    ElseIf i = ",A1," Then")</f>
        <v xml:space="preserve">    ElseIf i = 11 Then</v>
      </c>
    </row>
    <row r="3" spans="1:2" x14ac:dyDescent="0.3">
      <c r="A3" t="s">
        <v>37</v>
      </c>
      <c r="B3" t="str">
        <f>+CONCATENATE("      InputFile = (Range(""",A3,"4"").Value &amp; Range(""",A3,"3"").Value &amp; "".xlsm"")")</f>
        <v xml:space="preserve">      InputFile = (Range("N4").Value &amp; Range("N3").Value &amp; ".xlsm")</v>
      </c>
    </row>
    <row r="4" spans="1:2" x14ac:dyDescent="0.3">
      <c r="A4" t="s">
        <v>37</v>
      </c>
      <c r="B4" t="str">
        <f>+CONCATENATE("      OutputFile = (Range(""",A4,"4"").Value &amp; Range(""",A4,"3"").Value &amp; "".csv"")")</f>
        <v xml:space="preserve">      OutputFile = (Range("N4").Value &amp; Range("N3").Value &amp; ".csv")</v>
      </c>
    </row>
    <row r="6" spans="1:2" x14ac:dyDescent="0.3">
      <c r="A6">
        <f>+A1+1</f>
        <v>12</v>
      </c>
      <c r="B6" t="str">
        <f>+CONCATENATE("    ElseIf i = ",A6," Then")</f>
        <v xml:space="preserve">    ElseIf i = 12 Then</v>
      </c>
    </row>
    <row r="8" spans="1:2" x14ac:dyDescent="0.3">
      <c r="A8" t="s">
        <v>38</v>
      </c>
      <c r="B8" t="str">
        <f>+CONCATENATE("      InputFile = (Range(""",A8,"4"").Value &amp; Range(""",A8,"3"").Value &amp; "".xlsm"")")</f>
        <v xml:space="preserve">      InputFile = (Range("O4").Value &amp; Range("O3").Value &amp; ".xlsm")</v>
      </c>
    </row>
    <row r="9" spans="1:2" x14ac:dyDescent="0.3">
      <c r="A9" t="s">
        <v>38</v>
      </c>
      <c r="B9" t="str">
        <f>+CONCATENATE("      OutputFile = (Range(""",A9,"4"").Value &amp; Range(""",A9,"3"").Value &amp; "".csv"")")</f>
        <v xml:space="preserve">      OutputFile = (Range("O4").Value &amp; Range("O3").Value &amp; ".csv")</v>
      </c>
    </row>
    <row r="11" spans="1:2" x14ac:dyDescent="0.3">
      <c r="A11">
        <f>+A6+1</f>
        <v>13</v>
      </c>
      <c r="B11" t="str">
        <f>+CONCATENATE("    ElseIf i = ",A11," Then")</f>
        <v xml:space="preserve">    ElseIf i = 13 Then</v>
      </c>
    </row>
    <row r="13" spans="1:2" x14ac:dyDescent="0.3">
      <c r="A13" t="s">
        <v>39</v>
      </c>
      <c r="B13" t="str">
        <f>+CONCATENATE("      InputFile = (Range(""",A13,"4"").Value &amp; Range(""",A13,"3"").Value &amp; "".xlsm"")")</f>
        <v xml:space="preserve">      InputFile = (Range("P4").Value &amp; Range("P3").Value &amp; ".xlsm")</v>
      </c>
    </row>
    <row r="14" spans="1:2" x14ac:dyDescent="0.3">
      <c r="A14" t="s">
        <v>39</v>
      </c>
      <c r="B14" t="str">
        <f>+CONCATENATE("      OutputFile = (Range(""",A14,"4"").Value &amp; Range(""",A14,"3"").Value &amp; "".csv"")")</f>
        <v xml:space="preserve">      OutputFile = (Range("P4").Value &amp; Range("P3").Value &amp; ".csv")</v>
      </c>
    </row>
    <row r="16" spans="1:2" x14ac:dyDescent="0.3">
      <c r="A16">
        <f>+A11+1</f>
        <v>14</v>
      </c>
      <c r="B16" t="str">
        <f>+CONCATENATE("    ElseIf i = ",A16," Then")</f>
        <v xml:space="preserve">    ElseIf i = 14 Then</v>
      </c>
    </row>
    <row r="18" spans="1:2" x14ac:dyDescent="0.3">
      <c r="A18" t="s">
        <v>40</v>
      </c>
      <c r="B18" t="str">
        <f>+CONCATENATE("      InputFile = (Range(""",A18,"4"").Value &amp; Range(""",A18,"3"").Value &amp; "".xlsm"")")</f>
        <v xml:space="preserve">      InputFile = (Range("Q4").Value &amp; Range("Q3").Value &amp; ".xlsm")</v>
      </c>
    </row>
    <row r="19" spans="1:2" x14ac:dyDescent="0.3">
      <c r="A19" t="s">
        <v>40</v>
      </c>
      <c r="B19" t="str">
        <f>+CONCATENATE("      OutputFile = (Range(""",A19,"4"").Value &amp; Range(""",A19,"3"").Value &amp; "".csv"")")</f>
        <v xml:space="preserve">      OutputFile = (Range("Q4").Value &amp; Range("Q3").Value &amp; ".csv")</v>
      </c>
    </row>
    <row r="21" spans="1:2" x14ac:dyDescent="0.3">
      <c r="A21">
        <f>+A16+1</f>
        <v>15</v>
      </c>
      <c r="B21" t="str">
        <f>+CONCATENATE("    ElseIf i = ",A21," Then")</f>
        <v xml:space="preserve">    ElseIf i = 15 Then</v>
      </c>
    </row>
    <row r="23" spans="1:2" x14ac:dyDescent="0.3">
      <c r="A23" t="s">
        <v>41</v>
      </c>
      <c r="B23" t="str">
        <f>+CONCATENATE("      InputFile = (Range(""",A23,"4"").Value &amp; Range(""",A23,"3"").Value &amp; "".xlsm"")")</f>
        <v xml:space="preserve">      InputFile = (Range("R4").Value &amp; Range("R3").Value &amp; ".xlsm")</v>
      </c>
    </row>
    <row r="24" spans="1:2" x14ac:dyDescent="0.3">
      <c r="A24" t="s">
        <v>41</v>
      </c>
      <c r="B24" t="str">
        <f>+CONCATENATE("      OutputFile = (Range(""",A24,"4"").Value &amp; Range(""",A24,"3"").Value &amp; "".csv"")")</f>
        <v xml:space="preserve">      OutputFile = (Range("R4").Value &amp; Range("R3").Value &amp; ".csv")</v>
      </c>
    </row>
    <row r="26" spans="1:2" x14ac:dyDescent="0.3">
      <c r="A26">
        <f>+A21+1</f>
        <v>16</v>
      </c>
      <c r="B26" t="str">
        <f>+CONCATENATE("    ElseIf i = ",A26," Then")</f>
        <v xml:space="preserve">    ElseIf i = 16 Then</v>
      </c>
    </row>
    <row r="28" spans="1:2" x14ac:dyDescent="0.3">
      <c r="A28" t="s">
        <v>42</v>
      </c>
      <c r="B28" t="str">
        <f>+CONCATENATE("      InputFile = (Range(""",A28,"4"").Value &amp; Range(""",A28,"3"").Value &amp; "".xlsm"")")</f>
        <v xml:space="preserve">      InputFile = (Range("S4").Value &amp; Range("S3").Value &amp; ".xlsm")</v>
      </c>
    </row>
    <row r="29" spans="1:2" x14ac:dyDescent="0.3">
      <c r="A29" t="s">
        <v>42</v>
      </c>
      <c r="B29" t="str">
        <f>+CONCATENATE("      OutputFile = (Range(""",A29,"4"").Value &amp; Range(""",A29,"3"").Value &amp; "".csv"")")</f>
        <v xml:space="preserve">      OutputFile = (Range("S4").Value &amp; Range("S3").Value &amp; ".csv")</v>
      </c>
    </row>
    <row r="31" spans="1:2" x14ac:dyDescent="0.3">
      <c r="A31">
        <f>+A26+1</f>
        <v>17</v>
      </c>
      <c r="B31" t="str">
        <f>+CONCATENATE("    ElseIf i = ",A31," Then")</f>
        <v xml:space="preserve">    ElseIf i = 17 Then</v>
      </c>
    </row>
    <row r="33" spans="1:2" x14ac:dyDescent="0.3">
      <c r="A33" t="s">
        <v>43</v>
      </c>
      <c r="B33" t="str">
        <f>+CONCATENATE("      InputFile = (Range(""",A33,"4"").Value &amp; Range(""",A33,"3"").Value &amp; "".xlsm"")")</f>
        <v xml:space="preserve">      InputFile = (Range("T4").Value &amp; Range("T3").Value &amp; ".xlsm")</v>
      </c>
    </row>
    <row r="34" spans="1:2" x14ac:dyDescent="0.3">
      <c r="A34" t="s">
        <v>43</v>
      </c>
      <c r="B34" t="str">
        <f>+CONCATENATE("      OutputFile = (Range(""",A34,"4"").Value &amp; Range(""",A34,"3"").Value &amp; "".csv"")")</f>
        <v xml:space="preserve">      OutputFile = (Range("T4").Value &amp; Range("T3").Value &amp; ".csv")</v>
      </c>
    </row>
    <row r="36" spans="1:2" x14ac:dyDescent="0.3">
      <c r="A36">
        <f>+A31+1</f>
        <v>18</v>
      </c>
      <c r="B36" t="str">
        <f>+CONCATENATE("    ElseIf i = ",A36," Then")</f>
        <v xml:space="preserve">    ElseIf i = 18 Then</v>
      </c>
    </row>
    <row r="38" spans="1:2" x14ac:dyDescent="0.3">
      <c r="A38" t="s">
        <v>44</v>
      </c>
      <c r="B38" t="str">
        <f>+CONCATENATE("      InputFile = (Range(""",A38,"4"").Value &amp; Range(""",A38,"3"").Value &amp; "".xlsm"")")</f>
        <v xml:space="preserve">      InputFile = (Range("U4").Value &amp; Range("U3").Value &amp; ".xlsm")</v>
      </c>
    </row>
    <row r="39" spans="1:2" x14ac:dyDescent="0.3">
      <c r="A39" t="s">
        <v>44</v>
      </c>
      <c r="B39" t="str">
        <f>+CONCATENATE("      OutputFile = (Range(""",A39,"4"").Value &amp; Range(""",A39,"3"").Value &amp; "".csv"")")</f>
        <v xml:space="preserve">      OutputFile = (Range("U4").Value &amp; Range("U3").Value &amp; ".csv")</v>
      </c>
    </row>
    <row r="41" spans="1:2" x14ac:dyDescent="0.3">
      <c r="A41">
        <f>+A36+1</f>
        <v>19</v>
      </c>
      <c r="B41" t="str">
        <f>+CONCATENATE("    ElseIf i = ",A41," Then")</f>
        <v xml:space="preserve">    ElseIf i = 19 Then</v>
      </c>
    </row>
    <row r="43" spans="1:2" x14ac:dyDescent="0.3">
      <c r="A43" t="s">
        <v>45</v>
      </c>
      <c r="B43" t="str">
        <f>+CONCATENATE("      InputFile = (Range(""",A43,"4"").Value &amp; Range(""",A43,"3"").Value &amp; "".xlsm"")")</f>
        <v xml:space="preserve">      InputFile = (Range("V4").Value &amp; Range("V3").Value &amp; ".xlsm")</v>
      </c>
    </row>
    <row r="44" spans="1:2" x14ac:dyDescent="0.3">
      <c r="A44" t="s">
        <v>45</v>
      </c>
      <c r="B44" t="str">
        <f>+CONCATENATE("      OutputFile = (Range(""",A44,"4"").Value &amp; Range(""",A44,"3"").Value &amp; "".csv"")")</f>
        <v xml:space="preserve">      OutputFile = (Range("V4").Value &amp; Range("V3").Value &amp; ".csv")</v>
      </c>
    </row>
    <row r="46" spans="1:2" x14ac:dyDescent="0.3">
      <c r="A46">
        <f>+A41+1</f>
        <v>20</v>
      </c>
      <c r="B46" t="str">
        <f>+CONCATENATE("    ElseIf i = ",A46," Then")</f>
        <v xml:space="preserve">    ElseIf i = 20 Then</v>
      </c>
    </row>
    <row r="48" spans="1:2" x14ac:dyDescent="0.3">
      <c r="A48" t="s">
        <v>46</v>
      </c>
      <c r="B48" t="str">
        <f>+CONCATENATE("      InputFile = (Range(""",A48,"4"").Value &amp; Range(""",A48,"3"").Value &amp; "".xlsm"")")</f>
        <v xml:space="preserve">      InputFile = (Range("W4").Value &amp; Range("W3").Value &amp; ".xlsm")</v>
      </c>
    </row>
    <row r="49" spans="1:2" x14ac:dyDescent="0.3">
      <c r="A49" t="s">
        <v>46</v>
      </c>
      <c r="B49" t="str">
        <f>+CONCATENATE("      OutputFile = (Range(""",A49,"4"").Value &amp; Range(""",A49,"3"").Value &amp; "".csv"")")</f>
        <v xml:space="preserve">      OutputFile = (Range("W4").Value &amp; Range("W3").Value &amp; ".csv")</v>
      </c>
    </row>
    <row r="51" spans="1:2" x14ac:dyDescent="0.3">
      <c r="A51">
        <f>+A46+1</f>
        <v>21</v>
      </c>
      <c r="B51" t="str">
        <f>+CONCATENATE("    ElseIf i = ",A51," Then")</f>
        <v xml:space="preserve">    ElseIf i = 21 Then</v>
      </c>
    </row>
    <row r="53" spans="1:2" x14ac:dyDescent="0.3">
      <c r="A53" t="s">
        <v>47</v>
      </c>
      <c r="B53" t="str">
        <f>+CONCATENATE("      InputFile = (Range(""",A53,"4"").Value &amp; Range(""",A53,"3"").Value &amp; "".xlsm"")")</f>
        <v xml:space="preserve">      InputFile = (Range("X4").Value &amp; Range("X3").Value &amp; ".xlsm")</v>
      </c>
    </row>
    <row r="54" spans="1:2" x14ac:dyDescent="0.3">
      <c r="A54" t="s">
        <v>47</v>
      </c>
      <c r="B54" t="str">
        <f>+CONCATENATE("      OutputFile = (Range(""",A54,"4"").Value &amp; Range(""",A54,"3"").Value &amp; "".csv"")")</f>
        <v xml:space="preserve">      OutputFile = (Range("X4").Value &amp; Range("X3").Value &amp; ".csv")</v>
      </c>
    </row>
    <row r="56" spans="1:2" x14ac:dyDescent="0.3">
      <c r="A56">
        <f>+A51+1</f>
        <v>22</v>
      </c>
      <c r="B56" t="str">
        <f>+CONCATENATE("    ElseIf i = ",A56," Then")</f>
        <v xml:space="preserve">    ElseIf i = 22 Then</v>
      </c>
    </row>
    <row r="58" spans="1:2" x14ac:dyDescent="0.3">
      <c r="A58" t="s">
        <v>48</v>
      </c>
      <c r="B58" t="str">
        <f>+CONCATENATE("      InputFile = (Range(""",A58,"4"").Value &amp; Range(""",A58,"3"").Value &amp; "".xlsm"")")</f>
        <v xml:space="preserve">      InputFile = (Range("Y4").Value &amp; Range("Y3").Value &amp; ".xlsm")</v>
      </c>
    </row>
    <row r="59" spans="1:2" x14ac:dyDescent="0.3">
      <c r="A59" t="s">
        <v>48</v>
      </c>
      <c r="B59" t="str">
        <f>+CONCATENATE("      OutputFile = (Range(""",A59,"4"").Value &amp; Range(""",A59,"3"").Value &amp; "".csv"")")</f>
        <v xml:space="preserve">      OutputFile = (Range("Y4").Value &amp; Range("Y3").Value &amp; ".csv")</v>
      </c>
    </row>
    <row r="61" spans="1:2" x14ac:dyDescent="0.3">
      <c r="A61">
        <f>+A56+1</f>
        <v>23</v>
      </c>
      <c r="B61" t="str">
        <f>+CONCATENATE("    ElseIf i = ",A61," Then")</f>
        <v xml:space="preserve">    ElseIf i = 23 Then</v>
      </c>
    </row>
    <row r="63" spans="1:2" x14ac:dyDescent="0.3">
      <c r="A63" t="s">
        <v>49</v>
      </c>
      <c r="B63" t="str">
        <f>+CONCATENATE("      InputFile = (Range(""",A63,"4"").Value &amp; Range(""",A63,"3"").Value &amp; "".xlsm"")")</f>
        <v xml:space="preserve">      InputFile = (Range("Z4").Value &amp; Range("Z3").Value &amp; ".xlsm")</v>
      </c>
    </row>
    <row r="64" spans="1:2" x14ac:dyDescent="0.3">
      <c r="A64" t="s">
        <v>49</v>
      </c>
      <c r="B64" t="str">
        <f>+CONCATENATE("      OutputFile = (Range(""",A64,"4"").Value &amp; Range(""",A64,"3"").Value &amp; "".csv"")")</f>
        <v xml:space="preserve">      OutputFile = (Range("Z4").Value &amp; Range("Z3").Value &amp; ".csv")</v>
      </c>
    </row>
    <row r="66" spans="1:2" x14ac:dyDescent="0.3">
      <c r="A66">
        <f>+A61+1</f>
        <v>24</v>
      </c>
      <c r="B66" t="str">
        <f>+CONCATENATE("    ElseIf i = ",A66," Then")</f>
        <v xml:space="preserve">    ElseIf i = 24 Then</v>
      </c>
    </row>
    <row r="68" spans="1:2" x14ac:dyDescent="0.3">
      <c r="A68" t="s">
        <v>50</v>
      </c>
      <c r="B68" t="str">
        <f>+CONCATENATE("      InputFile = (Range(""",A68,"4"").Value &amp; Range(""",A68,"3"").Value &amp; "".xlsm"")")</f>
        <v xml:space="preserve">      InputFile = (Range("AA4").Value &amp; Range("AA3").Value &amp; ".xlsm")</v>
      </c>
    </row>
    <row r="69" spans="1:2" x14ac:dyDescent="0.3">
      <c r="A69" t="s">
        <v>50</v>
      </c>
      <c r="B69" t="str">
        <f>+CONCATENATE("      OutputFile = (Range(""",A69,"4"").Value &amp; Range(""",A69,"3"").Value &amp; "".csv"")")</f>
        <v xml:space="preserve">      OutputFile = (Range("AA4").Value &amp; Range("AA3").Value &amp; ".csv")</v>
      </c>
    </row>
    <row r="71" spans="1:2" x14ac:dyDescent="0.3">
      <c r="A71">
        <f>+A66+1</f>
        <v>25</v>
      </c>
      <c r="B71" t="str">
        <f>+CONCATENATE("    ElseIf i = ",A71," Then")</f>
        <v xml:space="preserve">    ElseIf i = 25 Then</v>
      </c>
    </row>
    <row r="73" spans="1:2" x14ac:dyDescent="0.3">
      <c r="A73" t="s">
        <v>51</v>
      </c>
      <c r="B73" t="str">
        <f>+CONCATENATE("      InputFile = (Range(""",A73,"4"").Value &amp; Range(""",A73,"3"").Value &amp; "".xlsm"")")</f>
        <v xml:space="preserve">      InputFile = (Range("AB4").Value &amp; Range("AB3").Value &amp; ".xlsm")</v>
      </c>
    </row>
    <row r="74" spans="1:2" x14ac:dyDescent="0.3">
      <c r="A74" t="s">
        <v>51</v>
      </c>
      <c r="B74" t="str">
        <f>+CONCATENATE("      OutputFile = (Range(""",A74,"4"").Value &amp; Range(""",A74,"3"").Value &amp; "".csv"")")</f>
        <v xml:space="preserve">      OutputFile = (Range("AB4").Value &amp; Range("AB3").Value &amp; ".csv")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parameters</vt:lpstr>
      <vt:lpstr>_macro_code_helper</vt:lpstr>
    </vt:vector>
  </TitlesOfParts>
  <Company>MTC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Ory</dc:creator>
  <cp:lastModifiedBy>David Ory</cp:lastModifiedBy>
  <dcterms:created xsi:type="dcterms:W3CDTF">2015-06-15T19:25:07Z</dcterms:created>
  <dcterms:modified xsi:type="dcterms:W3CDTF">2015-06-26T15:51:44Z</dcterms:modified>
</cp:coreProperties>
</file>